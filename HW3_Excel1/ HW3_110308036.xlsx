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yinung/Desktop/"/>
    </mc:Choice>
  </mc:AlternateContent>
  <xr:revisionPtr revIDLastSave="0" documentId="8_{34DAFB90-6192-7F48-B2C4-7589BF776539}" xr6:coauthVersionLast="47" xr6:coauthVersionMax="47" xr10:uidLastSave="{00000000-0000-0000-0000-000000000000}"/>
  <bookViews>
    <workbookView xWindow="700" yWindow="760" windowWidth="17880" windowHeight="15640" xr2:uid="{60C2E2F6-AD98-4042-9BF5-DA3DB7B4AD4C}"/>
  </bookViews>
  <sheets>
    <sheet name="工作表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M17" i="1"/>
  <c r="H17" i="1"/>
  <c r="D17" i="1"/>
  <c r="C17" i="1"/>
  <c r="J17" i="1"/>
  <c r="J3" i="1"/>
  <c r="L3" i="1" s="1"/>
  <c r="J4" i="1"/>
  <c r="J5" i="1"/>
  <c r="J6" i="1"/>
  <c r="J7" i="1"/>
  <c r="J8" i="1"/>
  <c r="J9" i="1"/>
  <c r="L9" i="1" s="1"/>
  <c r="J10" i="1"/>
  <c r="L10" i="1" s="1"/>
  <c r="J11" i="1"/>
  <c r="K11" i="1" s="1"/>
  <c r="J12" i="1"/>
  <c r="K12" i="1" s="1"/>
  <c r="J13" i="1"/>
  <c r="K13" i="1" s="1"/>
  <c r="J14" i="1"/>
  <c r="J15" i="1"/>
  <c r="J2" i="1"/>
  <c r="L2" i="1" s="1"/>
  <c r="K8" i="1"/>
  <c r="L4" i="1"/>
  <c r="L5" i="1"/>
  <c r="L6" i="1"/>
  <c r="L7" i="1"/>
  <c r="L8" i="1"/>
  <c r="L14" i="1"/>
  <c r="L15" i="1"/>
  <c r="K4" i="1"/>
  <c r="K5" i="1"/>
  <c r="K6" i="1"/>
  <c r="K7" i="1"/>
  <c r="K14" i="1"/>
  <c r="K1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K3" i="1" l="1"/>
  <c r="L13" i="1"/>
  <c r="K9" i="1"/>
  <c r="L12" i="1"/>
  <c r="K10" i="1"/>
  <c r="L11" i="1"/>
  <c r="K2" i="1"/>
</calcChain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<sst xmlns="http://schemas.openxmlformats.org/spreadsheetml/2006/main" count="34" uniqueCount="34">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</sst>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</cellXfs>
  <cellStyles count="1">
    <cellStyle name="一般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altLang="zh-TW"/>
              <a:t>Students’ Overall Scores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8-864A-BFE1-A6DF591D1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1343087"/>
        <c:axId val="1985748720"/>
      </c:barChart>
      <c:catAx>
        <c:axId val="80134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85748720"/>
        <c:crosses val="autoZero"/>
        <c:auto val="1"/>
        <c:lblAlgn val="ctr"/>
        <c:lblOffset val="100"/>
        <c:noMultiLvlLbl val="0"/>
      </c:catAx>
      <c:valAx>
        <c:axId val="198574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0134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altLang="zh-TW"/>
              <a:t>pass vs fail Proportion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32-DD42-A6E3-38DBBB42824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A32-DD42-A6E3-38DBBB4282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工作表1!$L$17:$L$18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工作表1!$M$17:$M$18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2-DD42-A6E3-38DBBB428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468217</xdr:colOff>
      <xdr:row>24</xdr:row>
      <xdr:rowOff>120268</xdr:rowOff>
    </xdr:from>
    <xdr:to>
      <xdr:col>10</xdr:col>
      <xdr:colOff>1704555</xdr:colOff>
      <xdr:row>39</xdr:row>
      <xdr:rowOff>109251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0BF956A-C685-84CC-D55A-6AB327EFF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8467</xdr:colOff>
      <xdr:row>19</xdr:row>
      <xdr:rowOff>33867</xdr:rowOff>
    </xdr:from>
    <xdr:to>
      <xdr:col>16</xdr:col>
      <xdr:colOff>110067</xdr:colOff>
      <xdr:row>33</xdr:row>
      <xdr:rowOff>152400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0EA3913-68FF-1614-7A27-51C8AE097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M24"/>
  <sheetViews>
    <sheetView tabSelected="1" zoomScale="75" workbookViewId="0">
      <selection activeCell="K5" sqref="K5"/>
    </sheetView>
  </sheetViews>
  <sheetFormatPr baseColWidth="10" defaultColWidth="8.83203125" defaultRowHeight="15"/>
  <cols>
    <col min="3" max="4" width="13" bestFit="1" customWidth="1"/>
    <col min="8" max="8" width="18.6640625" bestFit="1" customWidth="1"/>
    <col min="10" max="10" width="16.1640625" bestFit="1" customWidth="1"/>
    <col min="11" max="11" width="24.1640625" customWidth="1"/>
    <col min="12" max="12" width="23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AVERAGE(C2:G2)*0.5 + I2*0.5</f>
        <v>91.7</v>
      </c>
      <c r="K2" t="str">
        <f>IF(J2&gt;=90,"A",IF(J2&gt;=80,"B",IF(J2&gt;=70,"C",IF(J2&gt;=60,"D","F"))))</f>
        <v>A</v>
      </c>
      <c r="L2" t="str">
        <f>IF(J2&gt;=60,"pass","fail")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>
        <f t="shared" ref="J3:J15" si="1">AVERAGE(C3:G3)*0.5 + I3*0.5</f>
        <v>90</v>
      </c>
      <c r="K3" t="str">
        <f t="shared" ref="K3:K15" si="2">IF(J3&gt;=90,"A",IF(J3&gt;=80,"B",IF(J3&gt;=70,"C",IF(J3&gt;=60,"D","F"))))</f>
        <v>A</v>
      </c>
      <c r="L3" t="str">
        <f t="shared" ref="L3:L15" si="3">IF(J3&gt;=60,"pass","fail")</f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t="shared" si="1"/>
        <v>81.2</v>
      </c>
      <c r="K4" t="str">
        <f t="shared" si="2"/>
        <v>B</v>
      </c>
      <c r="L4" t="str">
        <f t="shared" si="3"/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>
        <f t="shared" si="1"/>
        <v>80.8</v>
      </c>
      <c r="K5" t="str">
        <f t="shared" si="2"/>
        <v>B</v>
      </c>
      <c r="L5" t="str">
        <f t="shared" si="3"/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>
        <f t="shared" si="1"/>
        <v>84.7</v>
      </c>
      <c r="K6" t="str">
        <f t="shared" si="2"/>
        <v>B</v>
      </c>
      <c r="L6" t="str">
        <f t="shared" si="3"/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>
        <f t="shared" si="1"/>
        <v>80.8</v>
      </c>
      <c r="K7" t="str">
        <f t="shared" si="2"/>
        <v>B</v>
      </c>
      <c r="L7" t="str">
        <f t="shared" si="3"/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1"/>
        <v>77.900000000000006</v>
      </c>
      <c r="K8" t="str">
        <f t="shared" si="2"/>
        <v>C</v>
      </c>
      <c r="L8" t="str">
        <f t="shared" si="3"/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>
        <f t="shared" si="1"/>
        <v>74.2</v>
      </c>
      <c r="K9" t="str">
        <f t="shared" si="2"/>
        <v>C</v>
      </c>
      <c r="L9" t="str">
        <f t="shared" si="3"/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>
        <f t="shared" si="1"/>
        <v>75.2</v>
      </c>
      <c r="K10" t="str">
        <f t="shared" si="2"/>
        <v>C</v>
      </c>
      <c r="L10" t="str">
        <f t="shared" si="3"/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1"/>
        <v>77.599999999999994</v>
      </c>
      <c r="K11" t="str">
        <f t="shared" si="2"/>
        <v>C</v>
      </c>
      <c r="L11" t="str">
        <f t="shared" si="3"/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>
        <f t="shared" si="1"/>
        <v>80.599999999999994</v>
      </c>
      <c r="K12" t="str">
        <f t="shared" si="2"/>
        <v>B</v>
      </c>
      <c r="L12" t="str">
        <f t="shared" si="3"/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1"/>
        <v>59</v>
      </c>
      <c r="K13" t="str">
        <f t="shared" si="2"/>
        <v>F</v>
      </c>
      <c r="L13" t="str">
        <f t="shared" si="3"/>
        <v>fail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1"/>
        <v>66.900000000000006</v>
      </c>
      <c r="K14" t="str">
        <f t="shared" si="2"/>
        <v>D</v>
      </c>
      <c r="L14" t="str">
        <f t="shared" si="3"/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1"/>
        <v>55.6</v>
      </c>
      <c r="K15" t="str">
        <f t="shared" si="2"/>
        <v>F</v>
      </c>
      <c r="L15" t="str">
        <f t="shared" si="3"/>
        <v>fail</v>
      </c>
    </row>
    <row r="16" spans="1:12" ht="16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3">
      <c r="C17">
        <f>MAX(C2:C15)</f>
        <v>98</v>
      </c>
      <c r="D17">
        <f>LARGE(D2:D15,2)</f>
        <v>92</v>
      </c>
      <c r="H17" s="1">
        <f>COUNTIF(H2:H15,"&lt;80")</f>
        <v>8</v>
      </c>
      <c r="J17">
        <f>AVERAGE(J2:J15)</f>
        <v>76.871428571428581</v>
      </c>
      <c r="L17" t="s">
        <v>32</v>
      </c>
      <c r="M17">
        <f>COUNTIF(L2:L15,"pass")</f>
        <v>12</v>
      </c>
    </row>
    <row r="18" spans="3:13">
      <c r="L18" t="s">
        <v>33</v>
      </c>
      <c r="M18">
        <f>COUNTIF(L2:L15,"fail")</f>
        <v>2</v>
      </c>
    </row>
    <row r="24" spans="3:13" ht="16">
      <c r="J24" s="4" t="s">
        <v>30</v>
      </c>
    </row>
  </sheetData>
  <phoneticPr fontId="2" type="noConversion"/>
  <conditionalFormatting sqref="L2:L15">
    <cfRule type="containsText" dxfId="5" priority="4" operator="containsText" text="pass">
      <formula>NOT(ISERROR(SEARCH("pass",L2)))</formula>
    </cfRule>
    <cfRule type="containsText" dxfId="6" priority="5" operator="containsText" text="Fail">
      <formula>NOT(ISERROR(SEARCH("Fail",L2)))</formula>
    </cfRule>
    <cfRule type="containsText" dxfId="7" priority="6" operator="containsText" text="Pass">
      <formula>NOT(ISERROR(SEARCH("Pass",L2)))</formula>
    </cfRule>
    <cfRule type="containsText" dxfId="8" priority="2" operator="containsText" text="pass">
      <formula>NOT(ISERROR(SEARCH("pass",L2)))</formula>
    </cfRule>
    <cfRule type="containsText" dxfId="4" priority="1" operator="containsText" text="fail">
      <formula>NOT(ISERROR(SEARCH("fail",L2)))</formula>
    </cfRule>
  </conditionalFormatting>
  <conditionalFormatting sqref="L2">
    <cfRule type="containsText" dxfId="12" priority="3" operator="containsText" text="fail">
      <formula>NOT(ISERROR(SEARCH("fail",L2)))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黃 以穠</cp:lastModifiedBy>
  <dcterms:created xsi:type="dcterms:W3CDTF">2023-10-19T05:27:10Z</dcterms:created>
  <dcterms:modified xsi:type="dcterms:W3CDTF">2025-10-08T18:56:14Z</dcterms:modified>
</cp:coreProperties>
</file>